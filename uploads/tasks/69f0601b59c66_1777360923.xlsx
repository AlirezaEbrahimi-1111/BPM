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گوهری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D5" i="1" l="1"/>
  <c r="D3" i="1" l="1"/>
  <c r="D4" i="1"/>
  <c r="E6" i="1" l="1"/>
  <c r="F6" i="1"/>
  <c r="G6" i="1"/>
  <c r="H6" i="1"/>
  <c r="J6" i="1"/>
  <c r="C6" i="1"/>
  <c r="D6" i="1" l="1"/>
</calcChain>
</file>

<file path=xl/sharedStrings.xml><?xml version="1.0" encoding="utf-8"?>
<sst xmlns="http://schemas.openxmlformats.org/spreadsheetml/2006/main" count="22" uniqueCount="20">
  <si>
    <t>بانک</t>
  </si>
  <si>
    <t>شماره حساب</t>
  </si>
  <si>
    <t>مانده اول دوره</t>
  </si>
  <si>
    <t>جمع واریزی به حساب</t>
  </si>
  <si>
    <t>واریزی مشتریان</t>
  </si>
  <si>
    <t>واریزی جاری شرکا</t>
  </si>
  <si>
    <t>وام</t>
  </si>
  <si>
    <t>انتقال بین حسابها</t>
  </si>
  <si>
    <t>عودت وجه</t>
  </si>
  <si>
    <t>توسعه تعاون</t>
  </si>
  <si>
    <t>IR460220190101114036561001</t>
  </si>
  <si>
    <t>IR540220190102114036561001</t>
  </si>
  <si>
    <t>IR620220190103114036561001</t>
  </si>
  <si>
    <t>جمع</t>
  </si>
  <si>
    <t>سود سپرده</t>
  </si>
  <si>
    <t>آنالیز حساب شرکت تعاونی از تاریخ 1404/01/01 لغایت 1404/12/29</t>
  </si>
  <si>
    <t xml:space="preserve">فروش سیستم </t>
  </si>
  <si>
    <t xml:space="preserve">خرید سیستم </t>
  </si>
  <si>
    <t>فروش ارسال شده سامانه مودیان</t>
  </si>
  <si>
    <t xml:space="preserve">کل ورودی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</si>
</sst>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_-* #,##0\-;_-* &quot;-&quot;_-;_-@_-"/>
  </numFmts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16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41" fontId="0" fillId="0" borderId="0" xfId="1" applyFont="1"/>
    <xf numFmtId="0" fontId="2" fillId="0" borderId="0" xfId="0" applyFont="1"/>
    <xf numFmtId="41" fontId="2" fillId="0" borderId="0" xfId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41" fontId="5" fillId="4" borderId="2" xfId="1" applyFont="1" applyFill="1" applyBorder="1" applyAlignment="1">
      <alignment horizontal="center"/>
    </xf>
    <xf numFmtId="41" fontId="5" fillId="4" borderId="3" xfId="1" applyFont="1" applyFill="1" applyBorder="1" applyAlignment="1">
      <alignment horizontal="center"/>
    </xf>
    <xf numFmtId="41" fontId="5" fillId="4" borderId="1" xfId="1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41" fontId="5" fillId="2" borderId="1" xfId="1" applyFont="1" applyFill="1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41" fontId="5" fillId="3" borderId="1" xfId="1" applyFont="1" applyFill="1" applyBorder="1"/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41" fontId="5" fillId="5" borderId="1" xfId="1" applyFont="1" applyFill="1" applyBorder="1"/>
  </cellXfs>
  <cellStyles count="2">
    <cellStyle name="Comma [0]" xfId="1" builtinId="6"/>
    <cellStyle name="Normal" xfId="0" builtinId="0"/>
  </cellStyles>
  <dxfs count="12"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</dxf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</dxf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</dxf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</dxf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  <numFmt numFmtId="33" formatCode="_-* #,##0_-;_-* #,##0\-;_-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</dxf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</dxf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</dxf>
    <dxf>
      <font>
        <b/>
        <strike val="0"/>
        <outline val="0"/>
        <shadow val="0"/>
        <u val="none"/>
        <vertAlign val="baseline"/>
        <color theme="1"/>
        <name val="B Nazani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J6" totalsRowShown="0" headerRowDxfId="11" dataDxfId="10">
  <autoFilter ref="A2:J6"/>
  <tableColumns count="10">
    <tableColumn id="1" name="بانک" dataDxfId="9"/>
    <tableColumn id="2" name="شماره حساب" dataDxfId="8"/>
    <tableColumn id="3" name="مانده اول دوره" dataDxfId="7" dataCellStyle="Comma [0]"/>
    <tableColumn id="4" name="جمع واریزی به حساب" dataDxfId="6" dataCellStyle="Comma [0]">
      <calculatedColumnFormula>Table2[[#This Row],[واریزی مشتریان]]+Table2[[#This Row],[واریزی جاری شرکا]]+Table2[[#This Row],[وام]]+Table2[[#This Row],[عودت وجه]]</calculatedColumnFormula>
    </tableColumn>
    <tableColumn id="5" name="واریزی مشتریان" dataDxfId="5" dataCellStyle="Comma [0]"/>
    <tableColumn id="6" name="واریزی جاری شرکا" dataDxfId="4" dataCellStyle="Comma [0]"/>
    <tableColumn id="7" name="وام" dataDxfId="3" dataCellStyle="Comma [0]"/>
    <tableColumn id="8" name="انتقال بین حسابها" dataDxfId="2" dataCellStyle="Comma [0]"/>
    <tableColumn id="10" name="سود سپرده" dataDxfId="1" dataCellStyle="Comma [0]"/>
    <tableColumn id="9" name="عودت وجه" dataDxfId="0" dataCellStyle="Comma [0]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rightToLeft="1" tabSelected="1" workbookViewId="0">
      <selection activeCell="G11" sqref="G11"/>
    </sheetView>
  </sheetViews>
  <sheetFormatPr defaultRowHeight="14.25" x14ac:dyDescent="0.2"/>
  <cols>
    <col min="1" max="1" width="10" bestFit="1" customWidth="1"/>
    <col min="2" max="2" width="22.25" bestFit="1" customWidth="1"/>
    <col min="3" max="3" width="14.25" style="1" bestFit="1" customWidth="1"/>
    <col min="4" max="4" width="17.375" bestFit="1" customWidth="1"/>
    <col min="5" max="5" width="15.875" bestFit="1" customWidth="1"/>
    <col min="6" max="6" width="15.25" bestFit="1" customWidth="1"/>
    <col min="7" max="7" width="23.125" bestFit="1" customWidth="1"/>
    <col min="8" max="8" width="18.125" bestFit="1" customWidth="1"/>
    <col min="9" max="9" width="10.625" bestFit="1" customWidth="1"/>
    <col min="10" max="10" width="16.875" bestFit="1" customWidth="1"/>
  </cols>
  <sheetData>
    <row r="1" spans="1:10" ht="21" x14ac:dyDescent="0.55000000000000004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</row>
    <row r="2" spans="1:10" ht="19.5" x14ac:dyDescent="0.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14</v>
      </c>
      <c r="J2" s="2" t="s">
        <v>8</v>
      </c>
    </row>
    <row r="3" spans="1:10" ht="19.5" x14ac:dyDescent="0.5">
      <c r="A3" s="2" t="s">
        <v>9</v>
      </c>
      <c r="B3" s="2" t="s">
        <v>10</v>
      </c>
      <c r="C3" s="3">
        <v>601154</v>
      </c>
      <c r="D3" s="3">
        <f>Table2[[#This Row],[واریزی مشتریان]]+Table2[[#This Row],[واریزی جاری شرکا]]+Table2[[#This Row],[وام]]+Table2[[#This Row],[عودت وجه]]</f>
        <v>4394000000</v>
      </c>
      <c r="E3" s="3">
        <v>4394000000</v>
      </c>
      <c r="F3" s="3"/>
      <c r="G3" s="3"/>
      <c r="H3" s="3">
        <v>39462667692</v>
      </c>
      <c r="I3" s="3"/>
      <c r="J3" s="3"/>
    </row>
    <row r="4" spans="1:10" ht="19.5" x14ac:dyDescent="0.5">
      <c r="A4" s="2" t="s">
        <v>9</v>
      </c>
      <c r="B4" s="2" t="s">
        <v>11</v>
      </c>
      <c r="C4" s="3">
        <v>12750180542</v>
      </c>
      <c r="D4" s="3">
        <f>Table2[[#This Row],[واریزی مشتریان]]+Table2[[#This Row],[واریزی جاری شرکا]]+Table2[[#This Row],[وام]]+Table2[[#This Row],[عودت وجه]]</f>
        <v>806786873697</v>
      </c>
      <c r="E4" s="3">
        <v>708684401868</v>
      </c>
      <c r="F4" s="3"/>
      <c r="G4" s="3">
        <v>14740000000</v>
      </c>
      <c r="H4" s="3">
        <v>180313239998</v>
      </c>
      <c r="I4" s="3"/>
      <c r="J4" s="3">
        <v>83362471829</v>
      </c>
    </row>
    <row r="5" spans="1:10" ht="19.5" x14ac:dyDescent="0.5">
      <c r="A5" s="2" t="s">
        <v>9</v>
      </c>
      <c r="B5" s="2" t="s">
        <v>12</v>
      </c>
      <c r="C5" s="3">
        <v>100410</v>
      </c>
      <c r="D5" s="3">
        <f>Table2[[#This Row],[واریزی مشتریان]]+Table2[[#This Row],[واریزی جاری شرکا]]+Table2[[#This Row],[وام]]+Table2[[#This Row],[عودت وجه]]</f>
        <v>275367432511</v>
      </c>
      <c r="E5" s="3">
        <v>233615932511</v>
      </c>
      <c r="F5" s="3">
        <v>10230000000</v>
      </c>
      <c r="G5" s="3">
        <v>31521500000</v>
      </c>
      <c r="H5" s="3">
        <v>3719716702</v>
      </c>
      <c r="I5" s="3">
        <v>7144203</v>
      </c>
      <c r="J5" s="3"/>
    </row>
    <row r="6" spans="1:10" ht="19.5" x14ac:dyDescent="0.5">
      <c r="A6" s="4" t="s">
        <v>13</v>
      </c>
      <c r="B6" s="4"/>
      <c r="C6" s="3">
        <f>C3+C4+C5</f>
        <v>12750882106</v>
      </c>
      <c r="D6" s="3">
        <f>Table2[[#This Row],[واریزی مشتریان]]+Table2[[#This Row],[واریزی جاری شرکا]]+Table2[[#This Row],[وام]]+Table2[[#This Row],[عودت وجه]]</f>
        <v>1086548306208</v>
      </c>
      <c r="E6" s="3">
        <f t="shared" ref="E6:J6" si="0">E3+E4+E5</f>
        <v>946694334379</v>
      </c>
      <c r="F6" s="3">
        <f t="shared" si="0"/>
        <v>10230000000</v>
      </c>
      <c r="G6" s="3">
        <f t="shared" si="0"/>
        <v>46261500000</v>
      </c>
      <c r="H6" s="3">
        <f t="shared" si="0"/>
        <v>223495624392</v>
      </c>
      <c r="I6" s="3">
        <f>I3+I4+I5</f>
        <v>7144203</v>
      </c>
      <c r="J6" s="3">
        <f t="shared" si="0"/>
        <v>83362471829</v>
      </c>
    </row>
    <row r="10" spans="1:10" ht="26.25" x14ac:dyDescent="0.65">
      <c r="D10" s="7" t="s">
        <v>19</v>
      </c>
      <c r="E10" s="8"/>
      <c r="F10" s="9"/>
      <c r="G10" s="9">
        <v>946694334379</v>
      </c>
      <c r="H10" s="6"/>
      <c r="I10" s="6"/>
      <c r="J10" s="6"/>
    </row>
    <row r="11" spans="1:10" ht="26.25" x14ac:dyDescent="0.65">
      <c r="D11" s="10" t="s">
        <v>16</v>
      </c>
      <c r="E11" s="11"/>
      <c r="F11" s="12"/>
      <c r="G11" s="12">
        <v>950934475283</v>
      </c>
      <c r="I11" s="6"/>
      <c r="J11" s="6"/>
    </row>
    <row r="12" spans="1:10" ht="26.25" x14ac:dyDescent="0.65">
      <c r="D12" s="13" t="s">
        <v>17</v>
      </c>
      <c r="E12" s="14"/>
      <c r="F12" s="15"/>
      <c r="G12" s="15">
        <v>1023853165852</v>
      </c>
      <c r="I12" s="6"/>
      <c r="J12" s="6"/>
    </row>
    <row r="13" spans="1:10" ht="26.25" x14ac:dyDescent="0.65">
      <c r="D13" s="16" t="s">
        <v>18</v>
      </c>
      <c r="E13" s="17"/>
      <c r="F13" s="18"/>
      <c r="G13" s="18">
        <v>654951273265</v>
      </c>
    </row>
  </sheetData>
  <mergeCells count="5">
    <mergeCell ref="D11:E11"/>
    <mergeCell ref="D12:E12"/>
    <mergeCell ref="D13:E13"/>
    <mergeCell ref="A1:J1"/>
    <mergeCell ref="D10:E10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win-10</dc:creator>
  <cp:lastModifiedBy>win-10</cp:lastModifiedBy>
  <dcterms:created xsi:type="dcterms:W3CDTF">2026-03-04T09:33:25Z</dcterms:created>
  <dcterms:modified xsi:type="dcterms:W3CDTF">2026-04-28T07:21:20Z</dcterms:modified>
</cp:coreProperties>
</file>